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tcsheffield-my.sharepoint.com/personal/meggleton_utcsheffield_org_uk/Documents/"/>
    </mc:Choice>
  </mc:AlternateContent>
  <xr:revisionPtr revIDLastSave="0" documentId="8_{F0BF87A2-5CFD-4580-B6FA-0A6F456C6DF4}" xr6:coauthVersionLast="47" xr6:coauthVersionMax="47" xr10:uidLastSave="{00000000-0000-0000-0000-000000000000}"/>
  <bookViews>
    <workbookView xWindow="-108" yWindow="-108" windowWidth="23256" windowHeight="12456" xr2:uid="{CC787D60-D6B4-4F7B-8C59-24A0B5564970}"/>
  </bookViews>
  <sheets>
    <sheet name="2 Per Week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5" l="1"/>
  <c r="C6" i="5"/>
  <c r="C7" i="5" s="1"/>
  <c r="B6" i="5"/>
  <c r="B8" i="5" s="1"/>
  <c r="B10" i="5" s="1"/>
  <c r="B12" i="5" s="1"/>
  <c r="B14" i="5" s="1"/>
  <c r="B16" i="5" s="1"/>
  <c r="B18" i="5" s="1"/>
  <c r="B20" i="5" s="1"/>
  <c r="B23" i="5" s="1"/>
  <c r="B25" i="5" s="1"/>
  <c r="B27" i="5" s="1"/>
  <c r="B29" i="5" s="1"/>
  <c r="B31" i="5" s="1"/>
  <c r="B33" i="5" s="1"/>
  <c r="B36" i="5" s="1"/>
  <c r="B39" i="5" s="1"/>
  <c r="B41" i="5" s="1"/>
  <c r="B43" i="5" s="1"/>
  <c r="B45" i="5" s="1"/>
  <c r="B47" i="5" s="1"/>
  <c r="B49" i="5" s="1"/>
  <c r="B52" i="5" s="1"/>
  <c r="B54" i="5" s="1"/>
  <c r="B56" i="5" s="1"/>
  <c r="B58" i="5" s="1"/>
  <c r="B61" i="5" s="1"/>
  <c r="B64" i="5" s="1"/>
  <c r="B66" i="5" s="1"/>
  <c r="B68" i="5" s="1"/>
  <c r="B70" i="5" s="1"/>
  <c r="B72" i="5" s="1"/>
  <c r="B74" i="5" s="1"/>
  <c r="B77" i="5" s="1"/>
  <c r="B79" i="5" s="1"/>
  <c r="B81" i="5" s="1"/>
  <c r="B83" i="5" s="1"/>
  <c r="B85" i="5" s="1"/>
  <c r="B87" i="5" s="1"/>
  <c r="C8" i="5" l="1"/>
  <c r="C9" i="5" l="1"/>
  <c r="C10" i="5"/>
  <c r="C11" i="5" l="1"/>
  <c r="C12" i="5"/>
  <c r="C13" i="5" l="1"/>
  <c r="C14" i="5"/>
  <c r="C15" i="5" l="1"/>
  <c r="C16" i="5"/>
  <c r="C18" i="5" l="1"/>
  <c r="C19" i="5" s="1"/>
  <c r="C20" i="5" s="1"/>
  <c r="C17" i="5"/>
  <c r="C21" i="5" l="1"/>
  <c r="C22" i="5"/>
  <c r="C23" i="5"/>
  <c r="C24" i="5" l="1"/>
  <c r="C25" i="5"/>
  <c r="C26" i="5" l="1"/>
  <c r="C27" i="5"/>
  <c r="C29" i="5" l="1"/>
  <c r="C28" i="5"/>
  <c r="C30" i="5" l="1"/>
  <c r="C31" i="5"/>
  <c r="C32" i="5" l="1"/>
  <c r="C33" i="5"/>
  <c r="C34" i="5" s="1"/>
  <c r="C35" i="5" s="1"/>
  <c r="C36" i="5" s="1"/>
  <c r="C37" i="5" l="1"/>
  <c r="C38" i="5"/>
  <c r="C39" i="5"/>
  <c r="C40" i="5" l="1"/>
  <c r="C41" i="5"/>
  <c r="C42" i="5" l="1"/>
  <c r="C43" i="5"/>
  <c r="C45" i="5" l="1"/>
  <c r="C44" i="5"/>
  <c r="C46" i="5" l="1"/>
  <c r="C47" i="5"/>
  <c r="C48" i="5" s="1"/>
  <c r="C49" i="5" s="1"/>
  <c r="C50" i="5" l="1"/>
  <c r="C51" i="5"/>
  <c r="C52" i="5"/>
  <c r="C53" i="5" l="1"/>
  <c r="C54" i="5"/>
  <c r="C55" i="5" l="1"/>
  <c r="C56" i="5"/>
  <c r="C58" i="5" l="1"/>
  <c r="C59" i="5" s="1"/>
  <c r="C60" i="5" s="1"/>
  <c r="C61" i="5" s="1"/>
  <c r="C57" i="5"/>
  <c r="C62" i="5" l="1"/>
  <c r="C63" i="5"/>
  <c r="C64" i="5"/>
  <c r="C66" i="5" l="1"/>
  <c r="C65" i="5"/>
  <c r="C68" i="5" l="1"/>
  <c r="C67" i="5"/>
  <c r="C69" i="5" l="1"/>
  <c r="C70" i="5"/>
  <c r="C71" i="5" l="1"/>
  <c r="C72" i="5"/>
  <c r="C73" i="5" s="1"/>
  <c r="C74" i="5" s="1"/>
  <c r="C77" i="5" l="1"/>
  <c r="C75" i="5"/>
  <c r="C76" i="5"/>
  <c r="C78" i="5" l="1"/>
  <c r="C79" i="5"/>
  <c r="C80" i="5" l="1"/>
  <c r="C81" i="5"/>
  <c r="C82" i="5" l="1"/>
  <c r="C83" i="5"/>
  <c r="C85" i="5" l="1"/>
  <c r="C84" i="5"/>
  <c r="C86" i="5" l="1"/>
  <c r="C87" i="5"/>
  <c r="C88" i="5" s="1"/>
</calcChain>
</file>

<file path=xl/sharedStrings.xml><?xml version="1.0" encoding="utf-8"?>
<sst xmlns="http://schemas.openxmlformats.org/spreadsheetml/2006/main" count="22" uniqueCount="17">
  <si>
    <t>Half Term</t>
  </si>
  <si>
    <t>Week No.</t>
  </si>
  <si>
    <t>W/C</t>
  </si>
  <si>
    <t>Add. 
Info</t>
  </si>
  <si>
    <t>Allocated Staff</t>
  </si>
  <si>
    <t>Spec Point(s)</t>
  </si>
  <si>
    <t>Content</t>
  </si>
  <si>
    <t>DPA</t>
  </si>
  <si>
    <t>RHO</t>
  </si>
  <si>
    <t>Comments</t>
  </si>
  <si>
    <t>No Mon</t>
  </si>
  <si>
    <t>No Wed-Fri</t>
  </si>
  <si>
    <t>Half Term Break</t>
  </si>
  <si>
    <t>Christmas Term Break</t>
  </si>
  <si>
    <t>Easter Term Break</t>
  </si>
  <si>
    <t>Summer Term Break</t>
  </si>
  <si>
    <t>Y? -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</si>
</sst>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double">
        <color indexed="64"/>
      </bottom>
      <diagonal/>
    </border>
    <border>
      <left style="thin">
        <color theme="8"/>
      </left>
      <right style="thin">
        <color theme="8"/>
      </right>
      <top style="medium">
        <color indexed="64"/>
      </top>
      <bottom style="medium">
        <color indexed="64"/>
      </bottom>
      <diagonal/>
    </border>
    <border>
      <left style="thin">
        <color theme="8"/>
      </left>
      <right style="thin">
        <color theme="8"/>
      </right>
      <top style="medium">
        <color indexed="64"/>
      </top>
      <bottom style="thin">
        <color theme="8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medium">
        <color indexed="64"/>
      </bottom>
      <diagonal/>
    </border>
    <border>
      <left style="thin">
        <color theme="8"/>
      </left>
      <right style="thin">
        <color theme="8"/>
      </right>
      <top style="medium">
        <color indexed="64"/>
      </top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/>
    </xf>
    <xf numFmtId="0" fontId="1" fillId="0" borderId="3" xfId="0" applyFont="1" applyBorder="1"/>
    <xf numFmtId="0" fontId="0" fillId="0" borderId="3" xfId="0" applyBorder="1"/>
    <xf numFmtId="0" fontId="1" fillId="2" borderId="4" xfId="0" applyFont="1" applyFill="1" applyBorder="1"/>
    <xf numFmtId="0" fontId="1" fillId="2" borderId="4" xfId="0" applyFont="1" applyFill="1" applyBorder="1" applyAlignment="1">
      <alignment horizontal="center" vertical="center"/>
    </xf>
    <xf numFmtId="0" fontId="0" fillId="2" borderId="4" xfId="0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3" fillId="0" borderId="0" xfId="0" applyFont="1" applyAlignment="1">
      <alignment wrapText="1"/>
    </xf>
    <xf numFmtId="0" fontId="3" fillId="0" borderId="0" xfId="0" applyFont="1"/>
    <xf numFmtId="0" fontId="2" fillId="0" borderId="0" xfId="0" applyFont="1"/>
    <xf numFmtId="14" fontId="1" fillId="3" borderId="5" xfId="0" applyNumberFormat="1" applyFont="1" applyFill="1" applyBorder="1"/>
    <xf numFmtId="14" fontId="1" fillId="0" borderId="6" xfId="0" applyNumberFormat="1" applyFont="1" applyBorder="1"/>
    <xf numFmtId="14" fontId="1" fillId="0" borderId="5" xfId="0" applyNumberFormat="1" applyFont="1" applyBorder="1"/>
    <xf numFmtId="14" fontId="1" fillId="2" borderId="7" xfId="0" applyNumberFormat="1" applyFont="1" applyFill="1" applyBorder="1"/>
    <xf numFmtId="14" fontId="1" fillId="3" borderId="6" xfId="0" applyNumberFormat="1" applyFont="1" applyFill="1" applyBorder="1"/>
    <xf numFmtId="14" fontId="1" fillId="2" borderId="8" xfId="0" applyNumberFormat="1" applyFont="1" applyFill="1" applyBorder="1"/>
    <xf numFmtId="14" fontId="1" fillId="2" borderId="9" xfId="0" applyNumberFormat="1" applyFont="1" applyFill="1" applyBorder="1"/>
    <xf numFmtId="14" fontId="1" fillId="2" borderId="10" xfId="0" applyNumberFormat="1" applyFont="1" applyFill="1" applyBorder="1"/>
  </cellXfs>
  <cellStyles count="1">
    <cellStyle name="Normal" xfId="0" builtinId="0"/>
  </cellStyles>
  <dxfs count="4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rgb="FF0099FF"/>
        </patternFill>
      </fill>
    </dxf>
    <dxf>
      <font>
        <color theme="5" tint="-0.499984740745262"/>
      </font>
      <fill>
        <patternFill>
          <bgColor theme="7" tint="0.59996337778862885"/>
        </patternFill>
      </fill>
    </dxf>
    <dxf>
      <font>
        <color rgb="FF12785D"/>
      </font>
      <fill>
        <patternFill>
          <bgColor rgb="FFB0E4DE"/>
        </patternFill>
      </fill>
    </dxf>
    <dxf>
      <font>
        <color rgb="FF660066"/>
      </font>
      <fill>
        <patternFill>
          <bgColor rgb="FFCC99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499984740745262"/>
      </font>
      <fill>
        <patternFill>
          <bgColor rgb="FF0099FF"/>
        </patternFill>
      </fill>
    </dxf>
    <dxf>
      <font>
        <color theme="5" tint="-0.499984740745262"/>
      </font>
      <fill>
        <patternFill>
          <bgColor theme="7" tint="0.59996337778862885"/>
        </patternFill>
      </fill>
    </dxf>
    <dxf>
      <font>
        <color rgb="FF12785D"/>
      </font>
      <fill>
        <patternFill>
          <bgColor rgb="FFB0E4DE"/>
        </patternFill>
      </fill>
    </dxf>
    <dxf>
      <font>
        <color rgb="FF660066"/>
      </font>
      <fill>
        <patternFill>
          <bgColor rgb="FFCC99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4" tint="-0.499984740745262"/>
      </font>
      <fill>
        <patternFill>
          <bgColor rgb="FF0099FF"/>
        </patternFill>
      </fill>
    </dxf>
    <dxf>
      <font>
        <color theme="5" tint="-0.499984740745262"/>
      </font>
      <fill>
        <patternFill>
          <bgColor theme="7" tint="0.59996337778862885"/>
        </patternFill>
      </fill>
    </dxf>
    <dxf>
      <font>
        <color rgb="FF12785D"/>
      </font>
      <fill>
        <patternFill>
          <bgColor rgb="FFB0E4DE"/>
        </patternFill>
      </fill>
    </dxf>
    <dxf>
      <font>
        <color rgb="FF660066"/>
      </font>
      <fill>
        <patternFill>
          <bgColor rgb="FFCC99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499984740745262"/>
      </font>
      <fill>
        <patternFill>
          <bgColor rgb="FF0099FF"/>
        </patternFill>
      </fill>
    </dxf>
    <dxf>
      <font>
        <color theme="5" tint="-0.499984740745262"/>
      </font>
      <fill>
        <patternFill>
          <bgColor theme="7" tint="0.59996337778862885"/>
        </patternFill>
      </fill>
    </dxf>
    <dxf>
      <font>
        <color rgb="FF12785D"/>
      </font>
      <fill>
        <patternFill>
          <bgColor rgb="FFB0E4DE"/>
        </patternFill>
      </fill>
    </dxf>
    <dxf>
      <font>
        <color rgb="FF660066"/>
      </font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</font>
    </dxf>
    <dxf>
      <font>
        <b/>
      </font>
    </dxf>
    <dxf>
      <font>
        <b/>
      </font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660066"/>
      <color rgb="FFCC99FF"/>
      <color rgb="FF12785D"/>
      <color rgb="FFB0E4DE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BC72F4-AEE4-4C78-9704-D56C51FC7AAD}" name="Table13" displayName="Table13" ref="A2:J88" totalsRowShown="0" headerRowDxfId="45" tableBorderDxfId="44">
  <autoFilter ref="A2:J88" xr:uid="{A3436BE5-FAAF-43FC-A3A3-C340A34345D1}"/>
  <sortState xmlns:xlrd2="http://schemas.microsoft.com/office/spreadsheetml/2017/richdata2" ref="A3:J88">
    <sortCondition ref="C2:C88"/>
  </sortState>
  <tableColumns count="10">
    <tableColumn id="1" xr3:uid="{FD1B0A9D-84A9-471C-93E8-019486384B4B}" name="Half Term" dataDxfId="43"/>
    <tableColumn id="2" xr3:uid="{C44DD1B9-76D8-4239-9A39-09829E701418}" name="Week No." dataDxfId="39"/>
    <tableColumn id="3" xr3:uid="{2FCC303A-3F09-41A1-9573-75EE6EE5C6C3}" name="W/C" dataDxfId="40"/>
    <tableColumn id="4" xr3:uid="{36BDB98B-2A7F-4C98-950E-DC3F48364145}" name="Add. _x000a_Info" dataDxfId="38"/>
    <tableColumn id="11" xr3:uid="{51885584-849F-4411-8E2D-C6654A37E946}" name="Allocated Staff" dataDxfId="42"/>
    <tableColumn id="12" xr3:uid="{BFDBC19C-D691-4804-8F85-117436CD9FDF}" name="Spec Point(s)" dataDxfId="41"/>
    <tableColumn id="5" xr3:uid="{43534C64-4AD2-4B6B-8551-D9FF9A6D26E6}" name="Content"/>
    <tableColumn id="6" xr3:uid="{A205AC29-380C-454B-86B1-7C0B2B0CA0F9}" name="DPA"/>
    <tableColumn id="13" xr3:uid="{7883DD51-41A8-4624-97D1-BB8E83E14BD2}" name="RHO"/>
    <tableColumn id="10" xr3:uid="{D7ADBB55-3A5B-4651-BB86-D69EF110E498}" name="Comments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1D51C-A629-4362-A75C-DF80CFEE7273}">
  <dimension ref="A1:N88"/>
  <sheetViews>
    <sheetView tabSelected="1" workbookViewId="0">
      <selection activeCell="E21" sqref="E21"/>
    </sheetView>
  </sheetViews>
  <sheetFormatPr defaultRowHeight="14.4" x14ac:dyDescent="0.3"/>
  <cols>
    <col min="1" max="1" width="8.33203125" style="1" bestFit="1" customWidth="1"/>
    <col min="2" max="2" width="8.88671875" style="1" bestFit="1" customWidth="1"/>
    <col min="3" max="3" width="14.6640625" style="1" customWidth="1"/>
    <col min="4" max="4" width="11.33203125" style="1" bestFit="1" customWidth="1"/>
    <col min="5" max="5" width="11.33203125" style="1" customWidth="1"/>
    <col min="6" max="6" width="8.33203125" style="1" customWidth="1"/>
    <col min="7" max="7" width="74.33203125" customWidth="1"/>
    <col min="10" max="10" width="50.109375" customWidth="1"/>
  </cols>
  <sheetData>
    <row r="1" spans="1:14" ht="25.8" x14ac:dyDescent="0.5">
      <c r="G1" s="2" t="s">
        <v>16</v>
      </c>
    </row>
    <row r="2" spans="1:14" ht="31.2" x14ac:dyDescent="0.3">
      <c r="A2" s="14" t="s">
        <v>0</v>
      </c>
      <c r="B2" s="14" t="s">
        <v>1</v>
      </c>
      <c r="C2" s="15" t="s">
        <v>2</v>
      </c>
      <c r="D2" s="14" t="s">
        <v>3</v>
      </c>
      <c r="E2" s="14" t="s">
        <v>4</v>
      </c>
      <c r="F2" s="14" t="s">
        <v>5</v>
      </c>
      <c r="G2" s="16" t="s">
        <v>6</v>
      </c>
      <c r="H2" s="16" t="s">
        <v>7</v>
      </c>
      <c r="I2" s="16" t="s">
        <v>8</v>
      </c>
      <c r="J2" s="16" t="s">
        <v>9</v>
      </c>
    </row>
    <row r="3" spans="1:14" x14ac:dyDescent="0.3">
      <c r="A3" s="1">
        <v>1</v>
      </c>
      <c r="B3" s="1">
        <v>1</v>
      </c>
      <c r="C3" s="17">
        <v>45901</v>
      </c>
      <c r="D3" s="1" t="s">
        <v>10</v>
      </c>
      <c r="N3">
        <v>45901</v>
      </c>
    </row>
    <row r="4" spans="1:14" ht="15" thickBot="1" x14ac:dyDescent="0.35">
      <c r="A4" s="3">
        <v>1</v>
      </c>
      <c r="B4" s="3">
        <v>1</v>
      </c>
      <c r="C4" s="18">
        <v>45901</v>
      </c>
      <c r="D4" s="3"/>
      <c r="E4" s="3"/>
      <c r="F4" s="3"/>
      <c r="G4" s="4"/>
      <c r="H4" s="4"/>
      <c r="I4" s="4"/>
      <c r="J4" s="4"/>
      <c r="N4">
        <v>45901</v>
      </c>
    </row>
    <row r="5" spans="1:14" ht="15" thickTop="1" x14ac:dyDescent="0.3">
      <c r="A5" s="1">
        <v>1</v>
      </c>
      <c r="B5" s="1">
        <v>2</v>
      </c>
      <c r="C5" s="17">
        <f>C3+7</f>
        <v>45908</v>
      </c>
      <c r="N5">
        <v>45908</v>
      </c>
    </row>
    <row r="6" spans="1:14" ht="15" thickBot="1" x14ac:dyDescent="0.35">
      <c r="A6" s="3">
        <v>1</v>
      </c>
      <c r="B6" s="3">
        <f>B3+1</f>
        <v>2</v>
      </c>
      <c r="C6" s="18">
        <f>C3+7</f>
        <v>45908</v>
      </c>
      <c r="D6" s="3"/>
      <c r="E6" s="3"/>
      <c r="F6" s="3"/>
      <c r="G6" s="4"/>
      <c r="H6" s="4"/>
      <c r="I6" s="4"/>
      <c r="J6" s="4"/>
      <c r="N6">
        <v>45908</v>
      </c>
    </row>
    <row r="7" spans="1:14" ht="15" thickTop="1" x14ac:dyDescent="0.3">
      <c r="A7" s="1">
        <v>1</v>
      </c>
      <c r="B7" s="1">
        <v>3</v>
      </c>
      <c r="C7" s="17">
        <f>C6+7</f>
        <v>45915</v>
      </c>
      <c r="N7">
        <v>45915</v>
      </c>
    </row>
    <row r="8" spans="1:14" ht="15" thickBot="1" x14ac:dyDescent="0.35">
      <c r="A8" s="3">
        <v>1</v>
      </c>
      <c r="B8" s="3">
        <f>B6+1</f>
        <v>3</v>
      </c>
      <c r="C8" s="18">
        <f>C6+7</f>
        <v>45915</v>
      </c>
      <c r="D8" s="3"/>
      <c r="E8" s="3"/>
      <c r="F8" s="3"/>
      <c r="G8" s="4"/>
      <c r="H8" s="4"/>
      <c r="I8" s="4"/>
      <c r="J8" s="4"/>
      <c r="N8">
        <v>45915</v>
      </c>
    </row>
    <row r="9" spans="1:14" ht="15" thickTop="1" x14ac:dyDescent="0.3">
      <c r="A9" s="1">
        <v>1</v>
      </c>
      <c r="B9" s="1">
        <v>4</v>
      </c>
      <c r="C9" s="17">
        <f>C8+7</f>
        <v>45922</v>
      </c>
      <c r="N9">
        <v>45922</v>
      </c>
    </row>
    <row r="10" spans="1:14" ht="15" thickBot="1" x14ac:dyDescent="0.35">
      <c r="A10" s="3">
        <v>1</v>
      </c>
      <c r="B10" s="3">
        <f>B8+1</f>
        <v>4</v>
      </c>
      <c r="C10" s="18">
        <f>C8+7</f>
        <v>45922</v>
      </c>
      <c r="D10" s="3"/>
      <c r="E10" s="3"/>
      <c r="F10" s="3"/>
      <c r="G10" s="4"/>
      <c r="H10" s="4"/>
      <c r="I10" s="4"/>
      <c r="J10" s="4"/>
      <c r="N10">
        <v>45922</v>
      </c>
    </row>
    <row r="11" spans="1:14" ht="15" thickTop="1" x14ac:dyDescent="0.3">
      <c r="A11" s="1">
        <v>1</v>
      </c>
      <c r="B11" s="1">
        <v>5</v>
      </c>
      <c r="C11" s="17">
        <f>C10+7</f>
        <v>45929</v>
      </c>
      <c r="N11">
        <v>45929</v>
      </c>
    </row>
    <row r="12" spans="1:14" ht="15" thickBot="1" x14ac:dyDescent="0.35">
      <c r="A12" s="3">
        <v>1</v>
      </c>
      <c r="B12" s="3">
        <f>B10+1</f>
        <v>5</v>
      </c>
      <c r="C12" s="18">
        <f>C10+7</f>
        <v>45929</v>
      </c>
      <c r="D12" s="3"/>
      <c r="E12" s="3"/>
      <c r="F12" s="3"/>
      <c r="G12" s="4"/>
      <c r="H12" s="4"/>
      <c r="I12" s="4"/>
      <c r="J12" s="4"/>
      <c r="N12">
        <v>45929</v>
      </c>
    </row>
    <row r="13" spans="1:14" ht="15" thickTop="1" x14ac:dyDescent="0.3">
      <c r="A13" s="1">
        <v>1</v>
      </c>
      <c r="B13" s="1">
        <v>6</v>
      </c>
      <c r="C13" s="17">
        <f>C12+7</f>
        <v>45936</v>
      </c>
      <c r="N13">
        <v>45936</v>
      </c>
    </row>
    <row r="14" spans="1:14" ht="15" thickBot="1" x14ac:dyDescent="0.35">
      <c r="A14" s="3">
        <v>1</v>
      </c>
      <c r="B14" s="3">
        <f>B12+1</f>
        <v>6</v>
      </c>
      <c r="C14" s="18">
        <f>C12+7</f>
        <v>45936</v>
      </c>
      <c r="D14" s="3"/>
      <c r="E14" s="3"/>
      <c r="F14" s="3"/>
      <c r="G14" s="4"/>
      <c r="H14" s="4"/>
      <c r="I14" s="4"/>
      <c r="J14" s="4"/>
      <c r="N14">
        <v>45936</v>
      </c>
    </row>
    <row r="15" spans="1:14" ht="15" thickTop="1" x14ac:dyDescent="0.3">
      <c r="A15" s="1">
        <v>1</v>
      </c>
      <c r="B15" s="1">
        <v>7</v>
      </c>
      <c r="C15" s="17">
        <f>C14+7</f>
        <v>45943</v>
      </c>
      <c r="N15">
        <v>45943</v>
      </c>
    </row>
    <row r="16" spans="1:14" ht="15" thickBot="1" x14ac:dyDescent="0.35">
      <c r="A16" s="3">
        <v>1</v>
      </c>
      <c r="B16" s="3">
        <f>B14+1</f>
        <v>7</v>
      </c>
      <c r="C16" s="18">
        <f>C14+7</f>
        <v>45943</v>
      </c>
      <c r="D16" s="3"/>
      <c r="E16" s="3"/>
      <c r="F16" s="3"/>
      <c r="G16" s="4"/>
      <c r="H16" s="4"/>
      <c r="I16" s="4"/>
      <c r="J16" s="4"/>
      <c r="N16">
        <v>45943</v>
      </c>
    </row>
    <row r="17" spans="1:14" ht="15" thickTop="1" x14ac:dyDescent="0.3">
      <c r="A17" s="1">
        <v>1</v>
      </c>
      <c r="B17" s="1">
        <v>8</v>
      </c>
      <c r="C17" s="17">
        <f>C16+7</f>
        <v>45950</v>
      </c>
      <c r="D17" s="1" t="s">
        <v>11</v>
      </c>
      <c r="N17">
        <v>45950</v>
      </c>
    </row>
    <row r="18" spans="1:14" ht="15" thickBot="1" x14ac:dyDescent="0.35">
      <c r="A18" s="1">
        <v>1</v>
      </c>
      <c r="B18" s="1">
        <f t="shared" ref="B18" si="0">B16+1</f>
        <v>8</v>
      </c>
      <c r="C18" s="19">
        <f>C16+7</f>
        <v>45950</v>
      </c>
      <c r="N18">
        <v>45950</v>
      </c>
    </row>
    <row r="19" spans="1:14" ht="15" thickBot="1" x14ac:dyDescent="0.35">
      <c r="A19" s="5"/>
      <c r="B19" s="5"/>
      <c r="C19" s="20">
        <f>C18+7</f>
        <v>45957</v>
      </c>
      <c r="D19" s="5"/>
      <c r="E19" s="5"/>
      <c r="F19" s="5"/>
      <c r="G19" s="6" t="s">
        <v>12</v>
      </c>
      <c r="H19" s="7"/>
      <c r="I19" s="7"/>
      <c r="J19" s="7"/>
      <c r="N19">
        <v>45957</v>
      </c>
    </row>
    <row r="20" spans="1:14" x14ac:dyDescent="0.3">
      <c r="A20" s="1">
        <v>2</v>
      </c>
      <c r="B20" s="1">
        <f>B18+1</f>
        <v>9</v>
      </c>
      <c r="C20" s="19">
        <f>C19+7</f>
        <v>45964</v>
      </c>
      <c r="N20">
        <v>45964</v>
      </c>
    </row>
    <row r="21" spans="1:14" ht="15" thickBot="1" x14ac:dyDescent="0.35">
      <c r="A21" s="3">
        <v>2</v>
      </c>
      <c r="B21" s="3">
        <v>9</v>
      </c>
      <c r="C21" s="21">
        <f>C20</f>
        <v>45964</v>
      </c>
      <c r="D21" s="3"/>
      <c r="E21" s="3"/>
      <c r="F21" s="3"/>
      <c r="G21" s="4"/>
      <c r="H21" s="4"/>
      <c r="I21" s="4"/>
      <c r="J21" s="4"/>
      <c r="N21">
        <v>45964</v>
      </c>
    </row>
    <row r="22" spans="1:14" ht="15" thickTop="1" x14ac:dyDescent="0.3">
      <c r="A22" s="1">
        <v>2</v>
      </c>
      <c r="B22" s="1">
        <v>10</v>
      </c>
      <c r="C22" s="19">
        <f>C20+7</f>
        <v>45971</v>
      </c>
      <c r="N22">
        <v>45971</v>
      </c>
    </row>
    <row r="23" spans="1:14" ht="15" thickBot="1" x14ac:dyDescent="0.35">
      <c r="A23" s="3">
        <v>2</v>
      </c>
      <c r="B23" s="3">
        <f>B20+1</f>
        <v>10</v>
      </c>
      <c r="C23" s="21">
        <f>C20+7</f>
        <v>45971</v>
      </c>
      <c r="D23" s="3"/>
      <c r="E23" s="3"/>
      <c r="F23" s="3"/>
      <c r="G23" s="4"/>
      <c r="H23" s="4"/>
      <c r="I23" s="4"/>
      <c r="J23" s="4"/>
      <c r="N23">
        <v>45971</v>
      </c>
    </row>
    <row r="24" spans="1:14" ht="15" thickTop="1" x14ac:dyDescent="0.3">
      <c r="A24" s="1">
        <v>2</v>
      </c>
      <c r="B24" s="1">
        <v>11</v>
      </c>
      <c r="C24" s="19">
        <f>C23+7</f>
        <v>45978</v>
      </c>
      <c r="N24">
        <v>45978</v>
      </c>
    </row>
    <row r="25" spans="1:14" ht="15" thickBot="1" x14ac:dyDescent="0.35">
      <c r="A25" s="3">
        <v>2</v>
      </c>
      <c r="B25" s="3">
        <f>B23+1</f>
        <v>11</v>
      </c>
      <c r="C25" s="21">
        <f>C23+7</f>
        <v>45978</v>
      </c>
      <c r="D25" s="3"/>
      <c r="E25" s="3"/>
      <c r="F25" s="3"/>
      <c r="G25" s="4"/>
      <c r="H25" s="4"/>
      <c r="I25" s="4"/>
      <c r="J25" s="4"/>
      <c r="N25">
        <v>45978</v>
      </c>
    </row>
    <row r="26" spans="1:14" ht="15" thickTop="1" x14ac:dyDescent="0.3">
      <c r="A26" s="1">
        <v>2</v>
      </c>
      <c r="B26" s="1">
        <v>12</v>
      </c>
      <c r="C26" s="19">
        <f>C25+7</f>
        <v>45985</v>
      </c>
      <c r="N26">
        <v>45985</v>
      </c>
    </row>
    <row r="27" spans="1:14" ht="15" thickBot="1" x14ac:dyDescent="0.35">
      <c r="A27" s="3">
        <v>2</v>
      </c>
      <c r="B27" s="3">
        <f>B25+1</f>
        <v>12</v>
      </c>
      <c r="C27" s="21">
        <f>C25+7</f>
        <v>45985</v>
      </c>
      <c r="D27" s="3"/>
      <c r="E27" s="3"/>
      <c r="F27" s="3"/>
      <c r="G27" s="4"/>
      <c r="H27" s="4"/>
      <c r="I27" s="4"/>
      <c r="J27" s="4"/>
      <c r="N27">
        <v>45985</v>
      </c>
    </row>
    <row r="28" spans="1:14" ht="15" thickTop="1" x14ac:dyDescent="0.3">
      <c r="A28" s="1">
        <v>2</v>
      </c>
      <c r="B28" s="1">
        <v>13</v>
      </c>
      <c r="C28" s="19">
        <f>C27+7</f>
        <v>45992</v>
      </c>
      <c r="N28">
        <v>45992</v>
      </c>
    </row>
    <row r="29" spans="1:14" ht="15" thickBot="1" x14ac:dyDescent="0.35">
      <c r="A29" s="3">
        <v>2</v>
      </c>
      <c r="B29" s="3">
        <f>B27+1</f>
        <v>13</v>
      </c>
      <c r="C29" s="21">
        <f>C27+7</f>
        <v>45992</v>
      </c>
      <c r="D29" s="3"/>
      <c r="E29" s="3"/>
      <c r="F29" s="3"/>
      <c r="G29" s="4"/>
      <c r="H29" s="4"/>
      <c r="I29" s="4"/>
      <c r="J29" s="4"/>
      <c r="N29">
        <v>45992</v>
      </c>
    </row>
    <row r="30" spans="1:14" ht="15" thickTop="1" x14ac:dyDescent="0.3">
      <c r="A30" s="1">
        <v>2</v>
      </c>
      <c r="B30" s="1">
        <v>14</v>
      </c>
      <c r="C30" s="19">
        <f>C29+7</f>
        <v>45999</v>
      </c>
      <c r="N30">
        <v>45999</v>
      </c>
    </row>
    <row r="31" spans="1:14" ht="15" thickBot="1" x14ac:dyDescent="0.35">
      <c r="A31" s="3">
        <v>2</v>
      </c>
      <c r="B31" s="3">
        <f>B29+1</f>
        <v>14</v>
      </c>
      <c r="C31" s="21">
        <f>C29+7</f>
        <v>45999</v>
      </c>
      <c r="D31" s="3"/>
      <c r="E31" s="3"/>
      <c r="F31" s="3"/>
      <c r="G31" s="4"/>
      <c r="H31" s="4"/>
      <c r="I31" s="4"/>
      <c r="J31" s="4"/>
      <c r="N31">
        <v>45999</v>
      </c>
    </row>
    <row r="32" spans="1:14" ht="15" thickTop="1" x14ac:dyDescent="0.3">
      <c r="A32" s="1">
        <v>2</v>
      </c>
      <c r="B32" s="1">
        <v>15</v>
      </c>
      <c r="C32" s="19">
        <f>C31+7</f>
        <v>46006</v>
      </c>
      <c r="N32">
        <v>46006</v>
      </c>
    </row>
    <row r="33" spans="1:14" ht="15" thickBot="1" x14ac:dyDescent="0.35">
      <c r="A33" s="1">
        <v>2</v>
      </c>
      <c r="B33" s="1">
        <f t="shared" ref="B33" si="1">B31+1</f>
        <v>15</v>
      </c>
      <c r="C33" s="17">
        <f>C31+7</f>
        <v>46006</v>
      </c>
      <c r="N33">
        <v>46006</v>
      </c>
    </row>
    <row r="34" spans="1:14" x14ac:dyDescent="0.3">
      <c r="A34" s="8"/>
      <c r="B34" s="8"/>
      <c r="C34" s="22">
        <f>C33+7</f>
        <v>46013</v>
      </c>
      <c r="D34" s="8"/>
      <c r="E34" s="8"/>
      <c r="F34" s="8"/>
      <c r="G34" s="9" t="s">
        <v>13</v>
      </c>
      <c r="H34" s="10"/>
      <c r="I34" s="10"/>
      <c r="J34" s="10"/>
      <c r="N34">
        <v>46013</v>
      </c>
    </row>
    <row r="35" spans="1:14" ht="15" thickBot="1" x14ac:dyDescent="0.35">
      <c r="A35" s="11"/>
      <c r="B35" s="11"/>
      <c r="C35" s="23">
        <f>C34+7</f>
        <v>46020</v>
      </c>
      <c r="D35" s="11"/>
      <c r="E35" s="11"/>
      <c r="F35" s="11"/>
      <c r="G35" s="12" t="s">
        <v>13</v>
      </c>
      <c r="H35" s="13"/>
      <c r="I35" s="13"/>
      <c r="J35" s="13"/>
      <c r="N35">
        <v>46020</v>
      </c>
    </row>
    <row r="36" spans="1:14" x14ac:dyDescent="0.3">
      <c r="A36" s="1">
        <v>3</v>
      </c>
      <c r="B36" s="1">
        <f>B33+1</f>
        <v>16</v>
      </c>
      <c r="C36" s="19">
        <f>C35+7</f>
        <v>46027</v>
      </c>
      <c r="N36">
        <v>46027</v>
      </c>
    </row>
    <row r="37" spans="1:14" ht="15" thickBot="1" x14ac:dyDescent="0.35">
      <c r="A37" s="3">
        <v>3</v>
      </c>
      <c r="B37" s="3">
        <v>16</v>
      </c>
      <c r="C37" s="21">
        <f>C36</f>
        <v>46027</v>
      </c>
      <c r="D37" s="3"/>
      <c r="E37" s="3"/>
      <c r="F37" s="3"/>
      <c r="G37" s="4"/>
      <c r="H37" s="4"/>
      <c r="I37" s="4"/>
      <c r="J37" s="4"/>
      <c r="N37">
        <v>46027</v>
      </c>
    </row>
    <row r="38" spans="1:14" ht="15" thickTop="1" x14ac:dyDescent="0.3">
      <c r="A38" s="1">
        <v>3</v>
      </c>
      <c r="B38" s="1">
        <v>17</v>
      </c>
      <c r="C38" s="19">
        <f>C36+7</f>
        <v>46034</v>
      </c>
      <c r="N38">
        <v>46034</v>
      </c>
    </row>
    <row r="39" spans="1:14" ht="15" thickBot="1" x14ac:dyDescent="0.35">
      <c r="A39" s="3">
        <v>3</v>
      </c>
      <c r="B39" s="3">
        <f>B36+1</f>
        <v>17</v>
      </c>
      <c r="C39" s="21">
        <f>C36+7</f>
        <v>46034</v>
      </c>
      <c r="D39" s="3"/>
      <c r="E39" s="3"/>
      <c r="F39" s="3"/>
      <c r="G39" s="4"/>
      <c r="H39" s="4"/>
      <c r="I39" s="4"/>
      <c r="J39" s="4"/>
      <c r="N39">
        <v>46034</v>
      </c>
    </row>
    <row r="40" spans="1:14" ht="15" thickTop="1" x14ac:dyDescent="0.3">
      <c r="A40" s="1">
        <v>3</v>
      </c>
      <c r="B40" s="1">
        <v>18</v>
      </c>
      <c r="C40" s="19">
        <f>C39+7</f>
        <v>46041</v>
      </c>
      <c r="N40">
        <v>46041</v>
      </c>
    </row>
    <row r="41" spans="1:14" ht="15" thickBot="1" x14ac:dyDescent="0.35">
      <c r="A41" s="3">
        <v>3</v>
      </c>
      <c r="B41" s="3">
        <f>B39+1</f>
        <v>18</v>
      </c>
      <c r="C41" s="21">
        <f>C39+7</f>
        <v>46041</v>
      </c>
      <c r="D41" s="3"/>
      <c r="E41" s="3"/>
      <c r="F41" s="3"/>
      <c r="G41" s="4"/>
      <c r="H41" s="4"/>
      <c r="I41" s="4"/>
      <c r="J41" s="4"/>
      <c r="N41">
        <v>46041</v>
      </c>
    </row>
    <row r="42" spans="1:14" ht="15" thickTop="1" x14ac:dyDescent="0.3">
      <c r="A42" s="1">
        <v>3</v>
      </c>
      <c r="B42" s="1">
        <v>19</v>
      </c>
      <c r="C42" s="19">
        <f>C41+7</f>
        <v>46048</v>
      </c>
      <c r="N42">
        <v>46048</v>
      </c>
    </row>
    <row r="43" spans="1:14" ht="15" thickBot="1" x14ac:dyDescent="0.35">
      <c r="A43" s="3">
        <v>3</v>
      </c>
      <c r="B43" s="3">
        <f>B41+1</f>
        <v>19</v>
      </c>
      <c r="C43" s="21">
        <f>C41+7</f>
        <v>46048</v>
      </c>
      <c r="D43" s="3"/>
      <c r="E43" s="3"/>
      <c r="F43" s="3"/>
      <c r="G43" s="4"/>
      <c r="H43" s="4"/>
      <c r="I43" s="4"/>
      <c r="J43" s="4"/>
      <c r="N43">
        <v>46048</v>
      </c>
    </row>
    <row r="44" spans="1:14" ht="15" thickTop="1" x14ac:dyDescent="0.3">
      <c r="A44" s="1">
        <v>3</v>
      </c>
      <c r="B44" s="1">
        <v>20</v>
      </c>
      <c r="C44" s="19">
        <f>C43+7</f>
        <v>46055</v>
      </c>
      <c r="N44">
        <v>46055</v>
      </c>
    </row>
    <row r="45" spans="1:14" ht="15" thickBot="1" x14ac:dyDescent="0.35">
      <c r="A45" s="3">
        <v>3</v>
      </c>
      <c r="B45" s="3">
        <f>B43+1</f>
        <v>20</v>
      </c>
      <c r="C45" s="21">
        <f>C43+7</f>
        <v>46055</v>
      </c>
      <c r="D45" s="3"/>
      <c r="E45" s="3"/>
      <c r="F45" s="3"/>
      <c r="G45" s="4"/>
      <c r="H45" s="4"/>
      <c r="I45" s="4"/>
      <c r="J45" s="4"/>
      <c r="N45">
        <v>46055</v>
      </c>
    </row>
    <row r="46" spans="1:14" ht="15" thickTop="1" x14ac:dyDescent="0.3">
      <c r="A46" s="1">
        <v>3</v>
      </c>
      <c r="B46" s="1">
        <v>21</v>
      </c>
      <c r="C46" s="19">
        <f>C45+7</f>
        <v>46062</v>
      </c>
      <c r="N46">
        <v>46062</v>
      </c>
    </row>
    <row r="47" spans="1:14" ht="15" thickBot="1" x14ac:dyDescent="0.35">
      <c r="A47" s="1">
        <v>3</v>
      </c>
      <c r="B47" s="1">
        <f>B45+1</f>
        <v>21</v>
      </c>
      <c r="C47" s="17">
        <f>C45+7</f>
        <v>46062</v>
      </c>
      <c r="G47" s="4"/>
      <c r="N47">
        <v>46062</v>
      </c>
    </row>
    <row r="48" spans="1:14" ht="15.6" thickTop="1" thickBot="1" x14ac:dyDescent="0.35">
      <c r="A48" s="5"/>
      <c r="B48" s="5"/>
      <c r="C48" s="20">
        <f>C47+7</f>
        <v>46069</v>
      </c>
      <c r="D48" s="5"/>
      <c r="E48" s="5"/>
      <c r="F48" s="5"/>
      <c r="G48" s="6" t="s">
        <v>12</v>
      </c>
      <c r="H48" s="7"/>
      <c r="I48" s="7"/>
      <c r="J48" s="7"/>
      <c r="N48">
        <v>46069</v>
      </c>
    </row>
    <row r="49" spans="1:14" x14ac:dyDescent="0.3">
      <c r="A49" s="1">
        <v>4</v>
      </c>
      <c r="B49" s="1">
        <f>B47+1</f>
        <v>22</v>
      </c>
      <c r="C49" s="17">
        <f>C48+7</f>
        <v>46076</v>
      </c>
      <c r="N49">
        <v>46076</v>
      </c>
    </row>
    <row r="50" spans="1:14" ht="15" thickBot="1" x14ac:dyDescent="0.35">
      <c r="A50" s="3">
        <v>4</v>
      </c>
      <c r="B50" s="3">
        <v>22</v>
      </c>
      <c r="C50" s="18">
        <f>C49</f>
        <v>46076</v>
      </c>
      <c r="D50" s="3"/>
      <c r="E50" s="3"/>
      <c r="F50" s="3"/>
      <c r="G50" s="4"/>
      <c r="H50" s="4"/>
      <c r="I50" s="4"/>
      <c r="J50" s="4"/>
      <c r="N50">
        <v>46076</v>
      </c>
    </row>
    <row r="51" spans="1:14" ht="15" thickTop="1" x14ac:dyDescent="0.3">
      <c r="A51" s="1">
        <v>4</v>
      </c>
      <c r="B51" s="1">
        <v>23</v>
      </c>
      <c r="C51" s="17">
        <f>C49+7</f>
        <v>46083</v>
      </c>
      <c r="N51">
        <v>46083</v>
      </c>
    </row>
    <row r="52" spans="1:14" ht="15" thickBot="1" x14ac:dyDescent="0.35">
      <c r="A52" s="3">
        <v>4</v>
      </c>
      <c r="B52" s="3">
        <f>B49+1</f>
        <v>23</v>
      </c>
      <c r="C52" s="18">
        <f>C49+7</f>
        <v>46083</v>
      </c>
      <c r="D52" s="3"/>
      <c r="E52" s="3"/>
      <c r="F52" s="3"/>
      <c r="G52" s="4"/>
      <c r="H52" s="4"/>
      <c r="I52" s="4"/>
      <c r="J52" s="4"/>
      <c r="N52">
        <v>46083</v>
      </c>
    </row>
    <row r="53" spans="1:14" ht="15" thickTop="1" x14ac:dyDescent="0.3">
      <c r="A53" s="1">
        <v>4</v>
      </c>
      <c r="B53" s="1">
        <v>24</v>
      </c>
      <c r="C53" s="17">
        <f>C52+7</f>
        <v>46090</v>
      </c>
      <c r="N53">
        <v>46090</v>
      </c>
    </row>
    <row r="54" spans="1:14" ht="15" thickBot="1" x14ac:dyDescent="0.35">
      <c r="A54" s="3">
        <v>4</v>
      </c>
      <c r="B54" s="3">
        <f>B52+1</f>
        <v>24</v>
      </c>
      <c r="C54" s="18">
        <f>C52+7</f>
        <v>46090</v>
      </c>
      <c r="D54" s="3"/>
      <c r="E54" s="3"/>
      <c r="F54" s="3"/>
      <c r="G54" s="4"/>
      <c r="H54" s="4"/>
      <c r="I54" s="4"/>
      <c r="J54" s="4"/>
      <c r="N54">
        <v>46090</v>
      </c>
    </row>
    <row r="55" spans="1:14" ht="15" thickTop="1" x14ac:dyDescent="0.3">
      <c r="A55" s="1">
        <v>4</v>
      </c>
      <c r="B55" s="1">
        <v>25</v>
      </c>
      <c r="C55" s="17">
        <f>C54+7</f>
        <v>46097</v>
      </c>
      <c r="N55">
        <v>46097</v>
      </c>
    </row>
    <row r="56" spans="1:14" ht="15" thickBot="1" x14ac:dyDescent="0.35">
      <c r="A56" s="3">
        <v>4</v>
      </c>
      <c r="B56" s="3">
        <f>B54+1</f>
        <v>25</v>
      </c>
      <c r="C56" s="18">
        <f>C54+7</f>
        <v>46097</v>
      </c>
      <c r="D56" s="3"/>
      <c r="E56" s="3"/>
      <c r="F56" s="3"/>
      <c r="G56" s="4"/>
      <c r="H56" s="4"/>
      <c r="I56" s="4"/>
      <c r="J56" s="4"/>
      <c r="N56">
        <v>46097</v>
      </c>
    </row>
    <row r="57" spans="1:14" ht="15" thickTop="1" x14ac:dyDescent="0.3">
      <c r="A57" s="1">
        <v>4</v>
      </c>
      <c r="B57" s="1">
        <v>26</v>
      </c>
      <c r="C57" s="17">
        <f>C56+7</f>
        <v>46104</v>
      </c>
      <c r="N57">
        <v>46104</v>
      </c>
    </row>
    <row r="58" spans="1:14" ht="15" thickBot="1" x14ac:dyDescent="0.35">
      <c r="A58" s="1">
        <v>4</v>
      </c>
      <c r="B58" s="1">
        <f>B56+1</f>
        <v>26</v>
      </c>
      <c r="C58" s="19">
        <f>C56+7</f>
        <v>46104</v>
      </c>
      <c r="G58" s="4"/>
      <c r="N58">
        <v>46104</v>
      </c>
    </row>
    <row r="59" spans="1:14" ht="15" thickTop="1" x14ac:dyDescent="0.3">
      <c r="A59" s="8"/>
      <c r="B59" s="8"/>
      <c r="C59" s="22">
        <f>C58+7</f>
        <v>46111</v>
      </c>
      <c r="D59" s="8"/>
      <c r="E59" s="8"/>
      <c r="F59" s="8"/>
      <c r="G59" s="9" t="s">
        <v>14</v>
      </c>
      <c r="H59" s="10"/>
      <c r="I59" s="10"/>
      <c r="J59" s="10"/>
      <c r="N59">
        <v>46111</v>
      </c>
    </row>
    <row r="60" spans="1:14" ht="15" thickBot="1" x14ac:dyDescent="0.35">
      <c r="A60" s="11"/>
      <c r="B60" s="11"/>
      <c r="C60" s="23">
        <f>C59+7</f>
        <v>46118</v>
      </c>
      <c r="D60" s="11"/>
      <c r="E60" s="11"/>
      <c r="F60" s="11"/>
      <c r="G60" s="12" t="s">
        <v>14</v>
      </c>
      <c r="H60" s="13"/>
      <c r="I60" s="13"/>
      <c r="J60" s="13"/>
      <c r="N60">
        <v>46118</v>
      </c>
    </row>
    <row r="61" spans="1:14" x14ac:dyDescent="0.3">
      <c r="A61" s="1">
        <v>5</v>
      </c>
      <c r="B61" s="1">
        <f>B58+1</f>
        <v>27</v>
      </c>
      <c r="C61" s="17">
        <f>C60+7</f>
        <v>46125</v>
      </c>
      <c r="N61">
        <v>46125</v>
      </c>
    </row>
    <row r="62" spans="1:14" ht="15" thickBot="1" x14ac:dyDescent="0.35">
      <c r="A62" s="3">
        <v>5</v>
      </c>
      <c r="B62" s="3">
        <v>27</v>
      </c>
      <c r="C62" s="18">
        <f>C61</f>
        <v>46125</v>
      </c>
      <c r="D62" s="3"/>
      <c r="E62" s="3"/>
      <c r="F62" s="3"/>
      <c r="G62" s="4"/>
      <c r="H62" s="4"/>
      <c r="I62" s="4"/>
      <c r="J62" s="4"/>
      <c r="N62">
        <v>46125</v>
      </c>
    </row>
    <row r="63" spans="1:14" ht="15" thickTop="1" x14ac:dyDescent="0.3">
      <c r="A63" s="1">
        <v>5</v>
      </c>
      <c r="B63" s="1">
        <v>28</v>
      </c>
      <c r="C63" s="17">
        <f>C61+7</f>
        <v>46132</v>
      </c>
      <c r="N63">
        <v>46132</v>
      </c>
    </row>
    <row r="64" spans="1:14" ht="15" thickBot="1" x14ac:dyDescent="0.35">
      <c r="A64" s="3">
        <v>5</v>
      </c>
      <c r="B64" s="3">
        <f>B61+1</f>
        <v>28</v>
      </c>
      <c r="C64" s="18">
        <f>C61+7</f>
        <v>46132</v>
      </c>
      <c r="D64" s="3"/>
      <c r="E64" s="3"/>
      <c r="F64" s="3"/>
      <c r="G64" s="4"/>
      <c r="H64" s="4"/>
      <c r="I64" s="4"/>
      <c r="J64" s="4"/>
      <c r="N64">
        <v>46132</v>
      </c>
    </row>
    <row r="65" spans="1:14" ht="15" thickTop="1" x14ac:dyDescent="0.3">
      <c r="A65" s="1">
        <v>5</v>
      </c>
      <c r="B65" s="1">
        <v>29</v>
      </c>
      <c r="C65" s="17">
        <f>C64+7</f>
        <v>46139</v>
      </c>
      <c r="N65">
        <v>46139</v>
      </c>
    </row>
    <row r="66" spans="1:14" ht="15" thickBot="1" x14ac:dyDescent="0.35">
      <c r="A66" s="3">
        <v>5</v>
      </c>
      <c r="B66" s="3">
        <f>B64+1</f>
        <v>29</v>
      </c>
      <c r="C66" s="18">
        <f>C64+7</f>
        <v>46139</v>
      </c>
      <c r="D66" s="3"/>
      <c r="E66" s="3"/>
      <c r="F66" s="3"/>
      <c r="G66" s="4"/>
      <c r="H66" s="4"/>
      <c r="I66" s="4"/>
      <c r="J66" s="4"/>
      <c r="N66">
        <v>46139</v>
      </c>
    </row>
    <row r="67" spans="1:14" ht="15" thickTop="1" x14ac:dyDescent="0.3">
      <c r="A67" s="1">
        <v>5</v>
      </c>
      <c r="B67" s="1">
        <v>30</v>
      </c>
      <c r="C67" s="17">
        <f>C66+7</f>
        <v>46146</v>
      </c>
      <c r="D67" s="1" t="s">
        <v>10</v>
      </c>
      <c r="N67">
        <v>46146</v>
      </c>
    </row>
    <row r="68" spans="1:14" ht="15" thickBot="1" x14ac:dyDescent="0.35">
      <c r="A68" s="3">
        <v>5</v>
      </c>
      <c r="B68" s="3">
        <f>B66+1</f>
        <v>30</v>
      </c>
      <c r="C68" s="18">
        <f>C66+7</f>
        <v>46146</v>
      </c>
      <c r="D68" s="3"/>
      <c r="E68" s="3"/>
      <c r="F68" s="3"/>
      <c r="G68" s="4"/>
      <c r="H68" s="4"/>
      <c r="I68" s="4"/>
      <c r="J68" s="4"/>
      <c r="N68">
        <v>46146</v>
      </c>
    </row>
    <row r="69" spans="1:14" ht="15" thickTop="1" x14ac:dyDescent="0.3">
      <c r="A69" s="1">
        <v>5</v>
      </c>
      <c r="B69" s="1">
        <v>31</v>
      </c>
      <c r="C69" s="17">
        <f>C68+7</f>
        <v>46153</v>
      </c>
      <c r="N69">
        <v>46153</v>
      </c>
    </row>
    <row r="70" spans="1:14" ht="15" thickBot="1" x14ac:dyDescent="0.35">
      <c r="A70" s="3">
        <v>5</v>
      </c>
      <c r="B70" s="3">
        <f>B68+1</f>
        <v>31</v>
      </c>
      <c r="C70" s="18">
        <f>C68+7</f>
        <v>46153</v>
      </c>
      <c r="D70" s="3"/>
      <c r="E70" s="3"/>
      <c r="F70" s="3"/>
      <c r="G70" s="4"/>
      <c r="H70" s="4"/>
      <c r="I70" s="4"/>
      <c r="J70" s="4"/>
      <c r="N70">
        <v>46153</v>
      </c>
    </row>
    <row r="71" spans="1:14" ht="15" thickTop="1" x14ac:dyDescent="0.3">
      <c r="A71" s="1">
        <v>5</v>
      </c>
      <c r="B71" s="1">
        <v>32</v>
      </c>
      <c r="C71" s="17">
        <f>C70+7</f>
        <v>46160</v>
      </c>
      <c r="N71">
        <v>46160</v>
      </c>
    </row>
    <row r="72" spans="1:14" ht="15" thickBot="1" x14ac:dyDescent="0.35">
      <c r="A72" s="1">
        <v>5</v>
      </c>
      <c r="B72" s="1">
        <f>B70+1</f>
        <v>32</v>
      </c>
      <c r="C72" s="19">
        <f>C70+7</f>
        <v>46160</v>
      </c>
      <c r="N72">
        <v>46160</v>
      </c>
    </row>
    <row r="73" spans="1:14" ht="15" thickBot="1" x14ac:dyDescent="0.35">
      <c r="A73" s="5"/>
      <c r="B73" s="5"/>
      <c r="C73" s="20">
        <f>C72+7</f>
        <v>46167</v>
      </c>
      <c r="D73" s="5"/>
      <c r="E73" s="5"/>
      <c r="F73" s="5"/>
      <c r="G73" s="6" t="s">
        <v>12</v>
      </c>
      <c r="H73" s="7"/>
      <c r="I73" s="7"/>
      <c r="J73" s="7"/>
      <c r="N73">
        <v>46167</v>
      </c>
    </row>
    <row r="74" spans="1:14" x14ac:dyDescent="0.3">
      <c r="A74" s="1">
        <v>6</v>
      </c>
      <c r="B74" s="1">
        <f>B72+1</f>
        <v>33</v>
      </c>
      <c r="C74" s="19">
        <f>C73+7</f>
        <v>46174</v>
      </c>
      <c r="N74">
        <v>46174</v>
      </c>
    </row>
    <row r="75" spans="1:14" ht="15" thickBot="1" x14ac:dyDescent="0.35">
      <c r="A75" s="3">
        <v>6</v>
      </c>
      <c r="B75" s="3">
        <v>33</v>
      </c>
      <c r="C75" s="21">
        <f>C74</f>
        <v>46174</v>
      </c>
      <c r="D75" s="3"/>
      <c r="E75" s="3"/>
      <c r="F75" s="3"/>
      <c r="G75" s="4"/>
      <c r="H75" s="4"/>
      <c r="I75" s="4"/>
      <c r="J75" s="4"/>
      <c r="N75">
        <v>46174</v>
      </c>
    </row>
    <row r="76" spans="1:14" ht="15" thickTop="1" x14ac:dyDescent="0.3">
      <c r="A76" s="1">
        <v>6</v>
      </c>
      <c r="B76" s="1">
        <v>34</v>
      </c>
      <c r="C76" s="19">
        <f>C74+7</f>
        <v>46181</v>
      </c>
      <c r="N76">
        <v>46181</v>
      </c>
    </row>
    <row r="77" spans="1:14" ht="15" thickBot="1" x14ac:dyDescent="0.35">
      <c r="A77" s="3">
        <v>6</v>
      </c>
      <c r="B77" s="3">
        <f>B74+1</f>
        <v>34</v>
      </c>
      <c r="C77" s="21">
        <f>C74+7</f>
        <v>46181</v>
      </c>
      <c r="D77" s="3"/>
      <c r="E77" s="3"/>
      <c r="F77" s="3"/>
      <c r="G77" s="4"/>
      <c r="H77" s="4"/>
      <c r="I77" s="4"/>
      <c r="J77" s="4"/>
      <c r="N77">
        <v>46181</v>
      </c>
    </row>
    <row r="78" spans="1:14" ht="15" thickTop="1" x14ac:dyDescent="0.3">
      <c r="A78" s="1">
        <v>6</v>
      </c>
      <c r="B78" s="1">
        <v>35</v>
      </c>
      <c r="C78" s="19">
        <f>C77+7</f>
        <v>46188</v>
      </c>
      <c r="N78">
        <v>46188</v>
      </c>
    </row>
    <row r="79" spans="1:14" ht="15" thickBot="1" x14ac:dyDescent="0.35">
      <c r="A79" s="3">
        <v>6</v>
      </c>
      <c r="B79" s="3">
        <f>B77+1</f>
        <v>35</v>
      </c>
      <c r="C79" s="21">
        <f>C77+7</f>
        <v>46188</v>
      </c>
      <c r="D79" s="3"/>
      <c r="E79" s="3"/>
      <c r="F79" s="3"/>
      <c r="G79" s="4"/>
      <c r="H79" s="4"/>
      <c r="I79" s="4"/>
      <c r="J79" s="4"/>
      <c r="N79">
        <v>46188</v>
      </c>
    </row>
    <row r="80" spans="1:14" ht="15" thickTop="1" x14ac:dyDescent="0.3">
      <c r="A80" s="1">
        <v>6</v>
      </c>
      <c r="B80" s="1">
        <v>36</v>
      </c>
      <c r="C80" s="19">
        <f>C79+7</f>
        <v>46195</v>
      </c>
      <c r="N80">
        <v>46195</v>
      </c>
    </row>
    <row r="81" spans="1:14" ht="15" thickBot="1" x14ac:dyDescent="0.35">
      <c r="A81" s="3">
        <v>6</v>
      </c>
      <c r="B81" s="3">
        <f>B79+1</f>
        <v>36</v>
      </c>
      <c r="C81" s="21">
        <f>C79+7</f>
        <v>46195</v>
      </c>
      <c r="D81" s="3"/>
      <c r="E81" s="3"/>
      <c r="F81" s="3"/>
      <c r="G81" s="4"/>
      <c r="H81" s="4"/>
      <c r="I81" s="4"/>
      <c r="J81" s="4"/>
      <c r="N81">
        <v>46195</v>
      </c>
    </row>
    <row r="82" spans="1:14" ht="15" thickTop="1" x14ac:dyDescent="0.3">
      <c r="A82" s="1">
        <v>6</v>
      </c>
      <c r="B82" s="1">
        <v>37</v>
      </c>
      <c r="C82" s="19">
        <f>C81+7</f>
        <v>46202</v>
      </c>
      <c r="N82">
        <v>46202</v>
      </c>
    </row>
    <row r="83" spans="1:14" ht="15" thickBot="1" x14ac:dyDescent="0.35">
      <c r="A83" s="3">
        <v>6</v>
      </c>
      <c r="B83" s="3">
        <f>B81+1</f>
        <v>37</v>
      </c>
      <c r="C83" s="21">
        <f>C81+7</f>
        <v>46202</v>
      </c>
      <c r="D83" s="3"/>
      <c r="E83" s="3"/>
      <c r="F83" s="3"/>
      <c r="G83" s="4"/>
      <c r="H83" s="4"/>
      <c r="I83" s="4"/>
      <c r="J83" s="4"/>
      <c r="N83">
        <v>46202</v>
      </c>
    </row>
    <row r="84" spans="1:14" ht="15" thickTop="1" x14ac:dyDescent="0.3">
      <c r="A84" s="1">
        <v>6</v>
      </c>
      <c r="B84" s="1">
        <v>38</v>
      </c>
      <c r="C84" s="19">
        <f>C83+7</f>
        <v>46209</v>
      </c>
      <c r="N84">
        <v>46209</v>
      </c>
    </row>
    <row r="85" spans="1:14" ht="15" thickBot="1" x14ac:dyDescent="0.35">
      <c r="A85" s="3">
        <v>6</v>
      </c>
      <c r="B85" s="3">
        <f>B83+1</f>
        <v>38</v>
      </c>
      <c r="C85" s="21">
        <f>C83+7</f>
        <v>46209</v>
      </c>
      <c r="D85" s="3"/>
      <c r="E85" s="3"/>
      <c r="F85" s="3"/>
      <c r="G85" s="4"/>
      <c r="H85" s="4"/>
      <c r="I85" s="4"/>
      <c r="J85" s="4"/>
      <c r="N85">
        <v>46209</v>
      </c>
    </row>
    <row r="86" spans="1:14" ht="15" thickTop="1" x14ac:dyDescent="0.3">
      <c r="A86" s="1">
        <v>6</v>
      </c>
      <c r="B86" s="1">
        <v>39</v>
      </c>
      <c r="C86" s="19">
        <f>C85+7</f>
        <v>46216</v>
      </c>
      <c r="N86">
        <v>46216</v>
      </c>
    </row>
    <row r="87" spans="1:14" ht="15" thickBot="1" x14ac:dyDescent="0.35">
      <c r="A87" s="1">
        <v>6</v>
      </c>
      <c r="B87" s="1">
        <f t="shared" ref="B87" si="2">B85+1</f>
        <v>39</v>
      </c>
      <c r="C87" s="17">
        <f>C85+7</f>
        <v>46216</v>
      </c>
      <c r="N87">
        <v>46216</v>
      </c>
    </row>
    <row r="88" spans="1:14" ht="15" thickBot="1" x14ac:dyDescent="0.35">
      <c r="A88" s="8"/>
      <c r="B88" s="8"/>
      <c r="C88" s="24">
        <f>C87+7</f>
        <v>46223</v>
      </c>
      <c r="D88" s="8"/>
      <c r="E88" s="8"/>
      <c r="F88" s="8"/>
      <c r="G88" s="9" t="s">
        <v>15</v>
      </c>
      <c r="H88" s="10"/>
      <c r="I88" s="10"/>
      <c r="J88" s="10"/>
      <c r="N88">
        <v>46223</v>
      </c>
    </row>
  </sheetData>
  <conditionalFormatting sqref="A2:J2 H3:J18 H20:J33 H36:J58 D3:F18 D19:J19 D20:F33 D34:J35 D36:F58 D59:J88 A3:C88">
    <cfRule type="cellIs" dxfId="37" priority="190" operator="equal">
      <formula>"RHO"</formula>
    </cfRule>
  </conditionalFormatting>
  <conditionalFormatting sqref="A2:J2 H3:J18 H20:J33 H36:J58 D19:J19 D34:J35 D59:J88 D3:F18 D20:F33 D36:F58 A3:C88">
    <cfRule type="cellIs" dxfId="36" priority="195" operator="equal">
      <formula>"STO"</formula>
    </cfRule>
    <cfRule type="cellIs" dxfId="35" priority="196" operator="equal">
      <formula>"IAH"</formula>
    </cfRule>
    <cfRule type="cellIs" dxfId="34" priority="197" operator="equal">
      <formula>"HCH"</formula>
    </cfRule>
    <cfRule type="cellIs" dxfId="33" priority="198" operator="equal">
      <formula>"DPA"</formula>
    </cfRule>
  </conditionalFormatting>
  <conditionalFormatting sqref="G3:G18">
    <cfRule type="cellIs" dxfId="32" priority="172" operator="equal">
      <formula>"RHO"</formula>
    </cfRule>
    <cfRule type="containsText" dxfId="31" priority="173" operator="containsText" text="Feedback">
      <formula>NOT(ISERROR(SEARCH("Feedback",G3)))</formula>
    </cfRule>
    <cfRule type="containsText" dxfId="30" priority="174" operator="containsText" text="Revision">
      <formula>NOT(ISERROR(SEARCH("Revision",G3)))</formula>
    </cfRule>
    <cfRule type="containsText" dxfId="29" priority="175" operator="containsText" text="Assessment">
      <formula>NOT(ISERROR(SEARCH("Assessment",G3)))</formula>
    </cfRule>
    <cfRule type="containsText" dxfId="28" priority="176" operator="containsText" text="Exam">
      <formula>NOT(ISERROR(SEARCH("Exam",G3)))</formula>
    </cfRule>
    <cfRule type="cellIs" dxfId="27" priority="177" operator="equal">
      <formula>"STO"</formula>
    </cfRule>
    <cfRule type="cellIs" dxfId="26" priority="178" operator="equal">
      <formula>"IAH"</formula>
    </cfRule>
    <cfRule type="cellIs" dxfId="25" priority="179" operator="equal">
      <formula>"HCH"</formula>
    </cfRule>
    <cfRule type="cellIs" dxfId="24" priority="180" operator="equal">
      <formula>"DPA"</formula>
    </cfRule>
  </conditionalFormatting>
  <conditionalFormatting sqref="G19 G34:G35 G59:G88">
    <cfRule type="containsText" dxfId="23" priority="191" operator="containsText" text="Feedback">
      <formula>NOT(ISERROR(SEARCH("Feedback",G19)))</formula>
    </cfRule>
    <cfRule type="containsText" dxfId="22" priority="192" operator="containsText" text="Revision">
      <formula>NOT(ISERROR(SEARCH("Revision",G19)))</formula>
    </cfRule>
    <cfRule type="containsText" dxfId="21" priority="193" operator="containsText" text="Assessment">
      <formula>NOT(ISERROR(SEARCH("Assessment",G19)))</formula>
    </cfRule>
    <cfRule type="containsText" dxfId="20" priority="194" operator="containsText" text="Exam">
      <formula>NOT(ISERROR(SEARCH("Exam",G19)))</formula>
    </cfRule>
  </conditionalFormatting>
  <conditionalFormatting sqref="G20:G33">
    <cfRule type="cellIs" dxfId="19" priority="163" operator="equal">
      <formula>"RHO"</formula>
    </cfRule>
    <cfRule type="containsText" dxfId="18" priority="164" operator="containsText" text="Feedback">
      <formula>NOT(ISERROR(SEARCH("Feedback",G20)))</formula>
    </cfRule>
    <cfRule type="containsText" dxfId="17" priority="165" operator="containsText" text="Revision">
      <formula>NOT(ISERROR(SEARCH("Revision",G20)))</formula>
    </cfRule>
    <cfRule type="containsText" dxfId="16" priority="166" operator="containsText" text="Assessment">
      <formula>NOT(ISERROR(SEARCH("Assessment",G20)))</formula>
    </cfRule>
    <cfRule type="containsText" dxfId="15" priority="167" operator="containsText" text="Exam">
      <formula>NOT(ISERROR(SEARCH("Exam",G20)))</formula>
    </cfRule>
    <cfRule type="cellIs" dxfId="14" priority="168" operator="equal">
      <formula>"STO"</formula>
    </cfRule>
    <cfRule type="cellIs" dxfId="13" priority="169" operator="equal">
      <formula>"IAH"</formula>
    </cfRule>
    <cfRule type="cellIs" dxfId="12" priority="170" operator="equal">
      <formula>"HCH"</formula>
    </cfRule>
    <cfRule type="cellIs" dxfId="11" priority="171" operator="equal">
      <formula>"DPA"</formula>
    </cfRule>
  </conditionalFormatting>
  <conditionalFormatting sqref="G36:G58">
    <cfRule type="cellIs" dxfId="10" priority="1" operator="equal">
      <formula>"RHO"</formula>
    </cfRule>
    <cfRule type="containsText" dxfId="9" priority="2" operator="containsText" text="Feedback">
      <formula>NOT(ISERROR(SEARCH("Feedback",G36)))</formula>
    </cfRule>
    <cfRule type="containsText" dxfId="8" priority="3" operator="containsText" text="Revision">
      <formula>NOT(ISERROR(SEARCH("Revision",G36)))</formula>
    </cfRule>
    <cfRule type="containsText" dxfId="7" priority="4" operator="containsText" text="Assessment">
      <formula>NOT(ISERROR(SEARCH("Assessment",G36)))</formula>
    </cfRule>
    <cfRule type="containsText" dxfId="6" priority="5" operator="containsText" text="Exam">
      <formula>NOT(ISERROR(SEARCH("Exam",G36)))</formula>
    </cfRule>
    <cfRule type="cellIs" dxfId="5" priority="6" operator="equal">
      <formula>"STO"</formula>
    </cfRule>
    <cfRule type="cellIs" dxfId="4" priority="7" operator="equal">
      <formula>"IAH"</formula>
    </cfRule>
    <cfRule type="cellIs" dxfId="3" priority="8" operator="equal">
      <formula>"HCH"</formula>
    </cfRule>
    <cfRule type="cellIs" dxfId="2" priority="9" operator="equal">
      <formula>"DPA"</formula>
    </cfRule>
  </conditionalFormatting>
  <conditionalFormatting sqref="H3:I88">
    <cfRule type="cellIs" dxfId="1" priority="199" operator="equal">
      <formula>"Y"</formula>
    </cfRule>
    <cfRule type="cellIs" dxfId="0" priority="200" operator="equal">
      <formula>"N"</formula>
    </cfRule>
  </conditionalFormatting>
  <dataValidations count="2">
    <dataValidation type="list" allowBlank="1" showInputMessage="1" showErrorMessage="1" sqref="E3:E88" xr:uid="{1BE790F9-78A8-4C0C-8BBD-D438A519B7F4}">
      <formula1>"DPA,HCH,IAH,RHO,STO"</formula1>
    </dataValidation>
    <dataValidation type="list" allowBlank="1" showInputMessage="1" showErrorMessage="1" sqref="H3:I88" xr:uid="{E189BC61-0E62-4892-A05E-10B83E422254}">
      <formula1>"Y,N"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nvited_Students xmlns="237b0868-7d9b-451d-ac21-3b56980ac494" xsi:nil="true"/>
    <Is_Collaboration_Space_Locked xmlns="237b0868-7d9b-451d-ac21-3b56980ac494" xsi:nil="true"/>
    <Math_Settings xmlns="237b0868-7d9b-451d-ac21-3b56980ac494" xsi:nil="true"/>
    <lcf76f155ced4ddcb4097134ff3c332f xmlns="237b0868-7d9b-451d-ac21-3b56980ac494">
      <Terms xmlns="http://schemas.microsoft.com/office/infopath/2007/PartnerControls"/>
    </lcf76f155ced4ddcb4097134ff3c332f>
    <AppVersion xmlns="237b0868-7d9b-451d-ac21-3b56980ac494" xsi:nil="true"/>
    <LMS_Mappings xmlns="237b0868-7d9b-451d-ac21-3b56980ac494" xsi:nil="true"/>
    <DefaultSectionNames xmlns="237b0868-7d9b-451d-ac21-3b56980ac494" xsi:nil="true"/>
    <Invited_Members xmlns="237b0868-7d9b-451d-ac21-3b56980ac494" xsi:nil="true"/>
    <Templates xmlns="237b0868-7d9b-451d-ac21-3b56980ac494" xsi:nil="true"/>
    <Self_Registration_Enabled xmlns="237b0868-7d9b-451d-ac21-3b56980ac494" xsi:nil="true"/>
    <FolderType xmlns="237b0868-7d9b-451d-ac21-3b56980ac494" xsi:nil="true"/>
    <Teachers xmlns="237b0868-7d9b-451d-ac21-3b56980ac494">
      <UserInfo>
        <DisplayName/>
        <AccountId xsi:nil="true"/>
        <AccountType/>
      </UserInfo>
    </Teachers>
    <Student_Groups xmlns="237b0868-7d9b-451d-ac21-3b56980ac494">
      <UserInfo>
        <DisplayName/>
        <AccountId xsi:nil="true"/>
        <AccountType/>
      </UserInfo>
    </Student_Groups>
    <TeamsChannelId xmlns="237b0868-7d9b-451d-ac21-3b56980ac494" xsi:nil="true"/>
    <Invited_Leaders xmlns="237b0868-7d9b-451d-ac21-3b56980ac494" xsi:nil="true"/>
    <CultureName xmlns="237b0868-7d9b-451d-ac21-3b56980ac494" xsi:nil="true"/>
    <Students xmlns="237b0868-7d9b-451d-ac21-3b56980ac494">
      <UserInfo>
        <DisplayName/>
        <AccountId xsi:nil="true"/>
        <AccountType/>
      </UserInfo>
    </Students>
    <IsNotebookLocked xmlns="237b0868-7d9b-451d-ac21-3b56980ac494" xsi:nil="true"/>
    <Has_Teacher_Only_SectionGroup xmlns="237b0868-7d9b-451d-ac21-3b56980ac494" xsi:nil="true"/>
    <Members xmlns="237b0868-7d9b-451d-ac21-3b56980ac494">
      <UserInfo>
        <DisplayName/>
        <AccountId xsi:nil="true"/>
        <AccountType/>
      </UserInfo>
    </Members>
    <Owner xmlns="237b0868-7d9b-451d-ac21-3b56980ac494">
      <UserInfo>
        <DisplayName/>
        <AccountId xsi:nil="true"/>
        <AccountType/>
      </UserInfo>
    </Owner>
    <Leaders xmlns="237b0868-7d9b-451d-ac21-3b56980ac494">
      <UserInfo>
        <DisplayName/>
        <AccountId xsi:nil="true"/>
        <AccountType/>
      </UserInfo>
    </Leaders>
    <Distribution_Groups xmlns="237b0868-7d9b-451d-ac21-3b56980ac494" xsi:nil="true"/>
    <TaxCatchAll xmlns="10aec0c1-495e-4018-b640-938d21cb9cf4" xsi:nil="true"/>
    <Invited_Teachers xmlns="237b0868-7d9b-451d-ac21-3b56980ac494" xsi:nil="true"/>
    <Member_Groups xmlns="237b0868-7d9b-451d-ac21-3b56980ac494">
      <UserInfo>
        <DisplayName/>
        <AccountId xsi:nil="true"/>
        <AccountType/>
      </UserInfo>
    </Member_Groups>
    <Has_Leaders_Only_SectionGroup xmlns="237b0868-7d9b-451d-ac21-3b56980ac494" xsi:nil="true"/>
    <NotebookType xmlns="237b0868-7d9b-451d-ac21-3b56980ac49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76635971CD94D9AF548EE5AC91C20" ma:contentTypeVersion="44" ma:contentTypeDescription="Create a new document." ma:contentTypeScope="" ma:versionID="1a957de5d5295bcd4bffbb9298f034ec">
  <xsd:schema xmlns:xsd="http://www.w3.org/2001/XMLSchema" xmlns:xs="http://www.w3.org/2001/XMLSchema" xmlns:p="http://schemas.microsoft.com/office/2006/metadata/properties" xmlns:ns2="10aec0c1-495e-4018-b640-938d21cb9cf4" xmlns:ns3="237b0868-7d9b-451d-ac21-3b56980ac494" targetNamespace="http://schemas.microsoft.com/office/2006/metadata/properties" ma:root="true" ma:fieldsID="b91b5e9a5d06d7710829c0c3460fdc66" ns2:_="" ns3:_="">
    <xsd:import namespace="10aec0c1-495e-4018-b640-938d21cb9cf4"/>
    <xsd:import namespace="237b0868-7d9b-451d-ac21-3b56980ac49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Teachers" minOccurs="0"/>
                <xsd:element ref="ns3:Students" minOccurs="0"/>
                <xsd:element ref="ns3:Student_Group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3:IsNotebookLocked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Leaders" minOccurs="0"/>
                <xsd:element ref="ns3:Members" minOccurs="0"/>
                <xsd:element ref="ns3:Member_Groups" minOccurs="0"/>
                <xsd:element ref="ns3:Distribution_Groups" minOccurs="0"/>
                <xsd:element ref="ns3:LMS_Mappings" minOccurs="0"/>
                <xsd:element ref="ns3:Invited_Leaders" minOccurs="0"/>
                <xsd:element ref="ns3:Invited_Members" minOccurs="0"/>
                <xsd:element ref="ns3:Has_Leaders_Only_SectionGroup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aec0c1-495e-4018-b640-938d21cb9cf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49" nillable="true" ma:displayName="Taxonomy Catch All Column" ma:hidden="true" ma:list="{0807dea3-1082-49f5-b9b2-afcfea530fe2}" ma:internalName="TaxCatchAll" ma:showField="CatchAllData" ma:web="10aec0c1-495e-4018-b640-938d21cb9c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7b0868-7d9b-451d-ac21-3b56980ac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NotebookType" ma:index="15" nillable="true" ma:displayName="Notebook Type" ma:internalName="NotebookType">
      <xsd:simpleType>
        <xsd:restriction base="dms:Text"/>
      </xsd:simpleType>
    </xsd:element>
    <xsd:element name="FolderType" ma:index="16" nillable="true" ma:displayName="Folder Type" ma:internalName="FolderType">
      <xsd:simpleType>
        <xsd:restriction base="dms:Text"/>
      </xsd:simpleType>
    </xsd:element>
    <xsd:element name="CultureName" ma:index="17" nillable="true" ma:displayName="Culture Name" ma:internalName="CultureName">
      <xsd:simpleType>
        <xsd:restriction base="dms:Text"/>
      </xsd:simpleType>
    </xsd:element>
    <xsd:element name="AppVersion" ma:index="18" nillable="true" ma:displayName="App Version" ma:internalName="AppVersion">
      <xsd:simpleType>
        <xsd:restriction base="dms:Text"/>
      </xsd:simpleType>
    </xsd:element>
    <xsd:element name="TeamsChannelId" ma:index="19" nillable="true" ma:displayName="Teams Channel Id" ma:internalName="TeamsChannelId">
      <xsd:simpleType>
        <xsd:restriction base="dms:Text"/>
      </xsd:simpleType>
    </xsd:element>
    <xsd:element name="Owner" ma:index="20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1" nillable="true" ma:displayName="Math Settings" ma:internalName="Math_Settings">
      <xsd:simpleType>
        <xsd:restriction base="dms:Text"/>
      </xsd:simpleType>
    </xsd:element>
    <xsd:element name="DefaultSectionNames" ma:index="22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3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4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25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26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nvited_Teachers" ma:index="27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28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9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0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1" nillable="true" ma:displayName="Is Collaboration Space Locked" ma:internalName="Is_Collaboration_Space_Locked">
      <xsd:simpleType>
        <xsd:restriction base="dms:Boolean"/>
      </xsd:simpleType>
    </xsd:element>
    <xsd:element name="IsNotebookLocked" ma:index="32" nillable="true" ma:displayName="Is Notebook Locked" ma:internalName="IsNotebookLocked">
      <xsd:simpleType>
        <xsd:restriction base="dms:Boolean"/>
      </xsd:simpleType>
    </xsd:element>
    <xsd:element name="MediaServiceGenerationTime" ma:index="3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35" nillable="true" ma:displayName="Location" ma:internalName="MediaServiceLocation" ma:readOnly="true">
      <xsd:simpleType>
        <xsd:restriction base="dms:Text"/>
      </xsd:simpleType>
    </xsd:element>
    <xsd:element name="Leaders" ma:index="36" nillable="true" ma:displayName="Leaders" ma:internalName="Lead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s" ma:index="37" nillable="true" ma:displayName="Members" ma:internalName="Memb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_Groups" ma:index="38" nillable="true" ma:displayName="Member Groups" ma:internalName="Member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9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40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Leaders" ma:index="41" nillable="true" ma:displayName="Invited Leaders" ma:internalName="Invited_Leaders">
      <xsd:simpleType>
        <xsd:restriction base="dms:Note">
          <xsd:maxLength value="255"/>
        </xsd:restriction>
      </xsd:simpleType>
    </xsd:element>
    <xsd:element name="Invited_Members" ma:index="42" nillable="true" ma:displayName="Invited Members" ma:internalName="Invited_Members">
      <xsd:simpleType>
        <xsd:restriction base="dms:Note">
          <xsd:maxLength value="255"/>
        </xsd:restriction>
      </xsd:simpleType>
    </xsd:element>
    <xsd:element name="Has_Leaders_Only_SectionGroup" ma:index="43" nillable="true" ma:displayName="Has Leaders Only SectionGroup" ma:internalName="Has_Leaders_Only_SectionGroup">
      <xsd:simpleType>
        <xsd:restriction base="dms:Boolean"/>
      </xsd:simpleType>
    </xsd:element>
    <xsd:element name="MediaServiceAutoKeyPoints" ma:index="4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4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48" nillable="true" ma:taxonomy="true" ma:internalName="lcf76f155ced4ddcb4097134ff3c332f" ma:taxonomyFieldName="MediaServiceImageTags" ma:displayName="Image Tags" ma:readOnly="false" ma:fieldId="{5cf76f15-5ced-4ddc-b409-7134ff3c332f}" ma:taxonomyMulti="true" ma:sspId="56b8feb0-8561-4fad-a5fd-d262bdf910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5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5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DA1275-1F3B-4737-A035-5DF4E269BCF6}">
  <ds:schemaRefs>
    <ds:schemaRef ds:uri="http://schemas.microsoft.com/office/2006/metadata/properties"/>
    <ds:schemaRef ds:uri="http://schemas.microsoft.com/office/infopath/2007/PartnerControls"/>
    <ds:schemaRef ds:uri="237b0868-7d9b-451d-ac21-3b56980ac494"/>
    <ds:schemaRef ds:uri="10aec0c1-495e-4018-b640-938d21cb9cf4"/>
  </ds:schemaRefs>
</ds:datastoreItem>
</file>

<file path=customXml/itemProps2.xml><?xml version="1.0" encoding="utf-8"?>
<ds:datastoreItem xmlns:ds="http://schemas.openxmlformats.org/officeDocument/2006/customXml" ds:itemID="{6EA938F5-8897-4DF3-94B6-DFB30B1CD5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4D219B-7A01-4022-8C3C-6E41CE5598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aec0c1-495e-4018-b640-938d21cb9cf4"/>
    <ds:schemaRef ds:uri="237b0868-7d9b-451d-ac21-3b56980ac4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55de50a-3234-46d8-8e7f-2ec17f586cb2}" enabled="0" method="" siteId="{155de50a-3234-46d8-8e7f-2ec17f586c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 Per Week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Stephen Tomkins</dc:creator>
  <cp:keywords/>
  <dc:description/>
  <cp:lastModifiedBy>Martyn Eggleton</cp:lastModifiedBy>
  <cp:revision/>
  <dcterms:created xsi:type="dcterms:W3CDTF">2024-06-10T08:24:48Z</dcterms:created>
  <dcterms:modified xsi:type="dcterms:W3CDTF">2026-04-11T13:55:44Z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0x01010059C76635971CD94D9AF548EE5AC91C20</vt:lpwstr>
  </property>
  <property fmtid="{D5CDD505-2E9C-101B-9397-08002B2CF9AE}" pid="3" name="MediaServiceImageTags">
    <vt:lpwstr/>
  </property>
</Properties>
</file>